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-Consent" sheetId="1" state="visible" r:id="rId1"/>
    <sheet name="People" sheetId="2" state="visible" r:id="rId2"/>
    <sheet name="Big Five" sheetId="3" state="visible" r:id="rId3"/>
    <sheet name="Conflict Style" sheetId="4" state="visible" r:id="rId4"/>
    <sheet name="Psych Safety" sheetId="5" state="visible" r:id="rId5"/>
    <sheet name="Comm-Decision" sheetId="6" state="visible" r:id="rId6"/>
    <sheet name="EQ" sheetId="7" state="visible" r:id="rId7"/>
    <sheet name="Attachment" sheetId="8" state="visible" r:id="rId8"/>
    <sheet name="Gate-A-Validation-Log" sheetId="9" state="visible" r:id="rId9"/>
  </sheets>
  <definedNames>
    <definedName name="PersonIDs">'People'!$A$2:$A$6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i val="1"/>
      <color rgb="00595959"/>
      <sz val="9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FFCCCC"/>
        </patternFill>
      </fill>
    </dxf>
    <dxf>
      <fill>
        <patternFill patternType="solid">
          <fgColor rgb="00FFFFC7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C1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version: phase1_gateA_v1</t>
        </is>
      </c>
      <c r="B1" s="1" t="inlineStr">
        <is>
          <t>created: 2026-04-24</t>
        </is>
      </c>
    </row>
    <row r="2">
      <c r="A2" s="2" t="n"/>
    </row>
    <row r="3" ht="30" customHeight="1">
      <c r="A3" s="3" t="inlineStr">
        <is>
          <t>Project</t>
        </is>
      </c>
      <c r="B3" s="4" t="inlineStr">
        <is>
          <t>Group Dynamics Simulator — Phase 1 Spreadsheet Prototype. Personal use only. Validates the psychological model and prompt design before Phase 2 software build.</t>
        </is>
      </c>
    </row>
    <row r="5" ht="30" customHeight="1">
      <c r="A5" s="3" t="inlineStr">
        <is>
          <t>Purpose</t>
        </is>
      </c>
      <c r="B5" s="4" t="inlineStr">
        <is>
          <t>Given structured psychological profiles, relationship data, and a scenario, simulate probable group dynamics and produce probability-weighted, evidence-traced outcomes.</t>
        </is>
      </c>
    </row>
    <row r="7" ht="30" customHeight="1">
      <c r="A7" s="3" t="inlineStr">
        <is>
          <t>NOT for</t>
        </is>
      </c>
      <c r="B7" s="4" t="inlineStr">
        <is>
          <t>Clinical diagnosis · Hiring or performance decisions · Legal proceedings · Multi-tenant use.</t>
        </is>
      </c>
    </row>
    <row r="9" ht="30" customHeight="1">
      <c r="A9" s="3" t="inlineStr">
        <is>
          <t>Consent</t>
        </is>
      </c>
      <c r="B9" s="4" t="inlineStr">
        <is>
          <t>All assessment data should be collected with the knowledge of the individuals assessed, or clearly marked as observer estimates / inferences.</t>
        </is>
      </c>
    </row>
    <row r="11" ht="30" customHeight="1">
      <c r="A11" s="3" t="inlineStr">
        <is>
          <t>Evidence sources</t>
        </is>
      </c>
      <c r="B11" s="4" t="inlineStr">
        <is>
          <t>validated — instrument-administered and quality-checked  |  self_report — self-entered by subject  |  observed — coach/facilitator estimate from direct observation  |  inferred — reasoned from indirect evidence  |  missing — not collected</t>
        </is>
      </c>
    </row>
    <row r="13" ht="30" customHeight="1">
      <c r="A13" s="3" t="inlineStr">
        <is>
          <t>Tab guide</t>
        </is>
      </c>
      <c r="B13" s="4" t="inlineStr">
        <is>
          <t>People → Big Five → Conflict Style → Psych Safety → Comm-Decision → EQ → Attachment  (assessment inputs)  ·  Gate-A-Validation-Log (quality checks)</t>
        </is>
      </c>
    </row>
    <row r="15" ht="30" customHeight="1">
      <c r="A15" s="3" t="inlineStr">
        <is>
          <t>Version log</t>
        </is>
      </c>
      <c r="B15" s="4" t="inlineStr">
        <is>
          <t>Edit the table below each session.</t>
        </is>
      </c>
    </row>
    <row r="17">
      <c r="A17" s="5" t="inlineStr">
        <is>
          <t>Date</t>
        </is>
      </c>
      <c r="B17" s="5" t="inlineStr">
        <is>
          <t>Editor</t>
        </is>
      </c>
      <c r="C17" s="5" t="inlineStr">
        <is>
          <t>Change description</t>
        </is>
      </c>
    </row>
    <row r="18">
      <c r="A18" s="6" t="inlineStr">
        <is>
          <t>2026-04-24</t>
        </is>
      </c>
      <c r="B18" s="6" t="inlineStr">
        <is>
          <t>build_workbook.py</t>
        </is>
      </c>
      <c r="C18" s="6" t="inlineStr">
        <is>
          <t>Initial workbook generated; version phase1_gateA_v1; 5-person synthetic dataset loaded.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13" customWidth="1" min="3" max="3"/>
    <col width="24" customWidth="1" min="4" max="4"/>
    <col width="14" customWidth="1" min="5" max="5"/>
    <col width="10" customWidth="1" min="6" max="6"/>
    <col width="10" customWidth="1" min="7" max="7"/>
  </cols>
  <sheetData>
    <row r="1">
      <c r="A1" s="5" t="inlineStr">
        <is>
          <t>PersonID</t>
        </is>
      </c>
      <c r="B1" s="5" t="inlineStr">
        <is>
          <t>DisplayName</t>
        </is>
      </c>
      <c r="C1" s="5" t="inlineStr">
        <is>
          <t>Role</t>
        </is>
      </c>
      <c r="D1" s="5" t="inlineStr">
        <is>
          <t>GroupMembership</t>
        </is>
      </c>
      <c r="E1" s="5" t="inlineStr">
        <is>
          <t>AuthorityLevel</t>
        </is>
      </c>
      <c r="F1" s="5" t="inlineStr">
        <is>
          <t>IsActive</t>
        </is>
      </c>
      <c r="G1" s="5" t="inlineStr">
        <is>
          <t>ID_Valid</t>
        </is>
      </c>
    </row>
    <row r="2">
      <c r="A2" s="6" t="inlineStr">
        <is>
          <t>alex.rivera</t>
        </is>
      </c>
      <c r="B2" s="6" t="inlineStr">
        <is>
          <t>Alex Rivera</t>
        </is>
      </c>
      <c r="C2" s="6" t="inlineStr">
        <is>
          <t>leader</t>
        </is>
      </c>
      <c r="D2" s="6" t="inlineStr">
        <is>
          <t>Alpha Leadership Team</t>
        </is>
      </c>
      <c r="E2" s="6" t="n">
        <v>5</v>
      </c>
      <c r="F2" s="6" t="inlineStr">
        <is>
          <t>TRUE</t>
        </is>
      </c>
      <c r="G2" s="7">
        <f>AND(LEN(A2)&gt;=3,LEN(A2)&lt;=64,EXACT(LOWER(A2),A2),ISERROR(FIND(" ",A2)))</f>
        <v/>
      </c>
    </row>
    <row r="3">
      <c r="A3" s="6" t="inlineStr">
        <is>
          <t>jordan.chen</t>
        </is>
      </c>
      <c r="B3" s="6" t="inlineStr">
        <is>
          <t>Jordan Chen</t>
        </is>
      </c>
      <c r="C3" s="6" t="inlineStr">
        <is>
          <t>manager</t>
        </is>
      </c>
      <c r="D3" s="6" t="inlineStr">
        <is>
          <t>Alpha Leadership Team</t>
        </is>
      </c>
      <c r="E3" s="6" t="n">
        <v>4</v>
      </c>
      <c r="F3" s="6" t="inlineStr">
        <is>
          <t>TRUE</t>
        </is>
      </c>
      <c r="G3" s="7">
        <f>AND(LEN(A3)&gt;=3,LEN(A3)&lt;=64,EXACT(LOWER(A3),A3),ISERROR(FIND(" ",A3)))</f>
        <v/>
      </c>
    </row>
    <row r="4">
      <c r="A4" s="6" t="inlineStr">
        <is>
          <t>sam.okafor</t>
        </is>
      </c>
      <c r="B4" s="6" t="inlineStr">
        <is>
          <t>Sam Okafor</t>
        </is>
      </c>
      <c r="C4" s="6" t="inlineStr">
        <is>
          <t>manager</t>
        </is>
      </c>
      <c r="D4" s="6" t="inlineStr">
        <is>
          <t>Alpha Leadership Team</t>
        </is>
      </c>
      <c r="E4" s="6" t="n">
        <v>4</v>
      </c>
      <c r="F4" s="6" t="inlineStr">
        <is>
          <t>TRUE</t>
        </is>
      </c>
      <c r="G4" s="7">
        <f>AND(LEN(A4)&gt;=3,LEN(A4)&lt;=64,EXACT(LOWER(A4),A4),ISERROR(FIND(" ",A4)))</f>
        <v/>
      </c>
    </row>
    <row r="5">
      <c r="A5" s="6" t="inlineStr">
        <is>
          <t>morgan.kim</t>
        </is>
      </c>
      <c r="B5" s="6" t="inlineStr">
        <is>
          <t>Morgan Kim</t>
        </is>
      </c>
      <c r="C5" s="6" t="inlineStr">
        <is>
          <t>ic</t>
        </is>
      </c>
      <c r="D5" s="6" t="inlineStr">
        <is>
          <t>Alpha Leadership Team</t>
        </is>
      </c>
      <c r="E5" s="6" t="n">
        <v>2</v>
      </c>
      <c r="F5" s="6" t="inlineStr">
        <is>
          <t>TRUE</t>
        </is>
      </c>
      <c r="G5" s="7">
        <f>AND(LEN(A5)&gt;=3,LEN(A5)&lt;=64,EXACT(LOWER(A5),A5),ISERROR(FIND(" ",A5)))</f>
        <v/>
      </c>
    </row>
    <row r="6">
      <c r="A6" s="6" t="inlineStr">
        <is>
          <t>casey.walsh</t>
        </is>
      </c>
      <c r="B6" s="6" t="inlineStr">
        <is>
          <t>Casey Walsh</t>
        </is>
      </c>
      <c r="C6" s="6" t="inlineStr">
        <is>
          <t>advisor</t>
        </is>
      </c>
      <c r="D6" s="6" t="inlineStr">
        <is>
          <t>Alpha Leadership Team</t>
        </is>
      </c>
      <c r="E6" s="6" t="n">
        <v>3</v>
      </c>
      <c r="F6" s="6" t="inlineStr">
        <is>
          <t>TRUE</t>
        </is>
      </c>
      <c r="G6" s="7">
        <f>AND(LEN(A6)&gt;=3,LEN(A6)&lt;=64,EXACT(LOWER(A6),A6),ISERROR(FIND(" ",A6)))</f>
        <v/>
      </c>
    </row>
  </sheetData>
  <conditionalFormatting sqref="A2:A6">
    <cfRule type="expression" priority="1" dxfId="0">
      <formula>NOT(G2)</formula>
    </cfRule>
  </conditionalFormatting>
  <conditionalFormatting sqref="E2:E6">
    <cfRule type="expression" priority="2" dxfId="0">
      <formula>OR(E2&lt;1,E2&gt;5)</formula>
    </cfRule>
  </conditionalFormatting>
  <dataValidations count="3">
    <dataValidation sqref="C2:C6" showDropDown="0" showInputMessage="0" showErrorMessage="1" allowBlank="0" errorTitle="Invalid value" error="Must be one of: leader,manager,ic,advisor,observer,other" type="list">
      <formula1>"leader,manager,ic,advisor,observer,other"</formula1>
    </dataValidation>
    <dataValidation sqref="F2:F6" showDropDown="0" showInputMessage="0" showErrorMessage="1" allowBlank="0" errorTitle="Invalid value" error="Must be one of: TRUE,FALSE" type="list">
      <formula1>"TRUE,FALSE"</formula1>
    </dataValidation>
    <dataValidation sqref="E2:E6" showDropDown="0" showInputMessage="0" showErrorMessage="1" allowBlank="1" errorTitle="Out of range" error="Enter an integer between 1 and 5.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s="5" t="inlineStr">
        <is>
          <t>PersonID</t>
        </is>
      </c>
      <c r="B1" s="5" t="inlineStr">
        <is>
          <t>Openness</t>
        </is>
      </c>
      <c r="C1" s="5" t="inlineStr">
        <is>
          <t>Conscientiousness</t>
        </is>
      </c>
      <c r="D1" s="5" t="inlineStr">
        <is>
          <t>Extraversion</t>
        </is>
      </c>
      <c r="E1" s="5" t="inlineStr">
        <is>
          <t>Agreeableness</t>
        </is>
      </c>
      <c r="F1" s="5" t="inlineStr">
        <is>
          <t>Neuroticism</t>
        </is>
      </c>
      <c r="G1" s="5" t="inlineStr">
        <is>
          <t>Evidence Source</t>
        </is>
      </c>
      <c r="H1" s="5" t="inlineStr">
        <is>
          <t>Missing Flag</t>
        </is>
      </c>
    </row>
    <row r="2">
      <c r="A2" s="8" t="inlineStr">
        <is>
          <t>cross-ref → People!A</t>
        </is>
      </c>
      <c r="B2" s="8" t="inlineStr">
        <is>
          <t>direct 0–100 entry</t>
        </is>
      </c>
      <c r="C2" s="8" t="inlineStr">
        <is>
          <t>direct 0–100 entry</t>
        </is>
      </c>
      <c r="D2" s="8" t="inlineStr">
        <is>
          <t>direct 0–100 entry</t>
        </is>
      </c>
      <c r="E2" s="8" t="inlineStr">
        <is>
          <t>direct 0–100 entry</t>
        </is>
      </c>
      <c r="F2" s="8" t="inlineStr">
        <is>
          <t>direct 0–100 entry</t>
        </is>
      </c>
      <c r="G2" s="8" t="inlineStr">
        <is>
          <t>source enum</t>
        </is>
      </c>
      <c r="H2" s="8" t="inlineStr">
        <is>
          <t>computed</t>
        </is>
      </c>
    </row>
    <row r="3">
      <c r="A3" s="6" t="inlineStr">
        <is>
          <t>alex.rivera</t>
        </is>
      </c>
      <c r="B3" s="6" t="n">
        <v>72</v>
      </c>
      <c r="C3" s="6" t="n">
        <v>81</v>
      </c>
      <c r="D3" s="6" t="n">
        <v>78</v>
      </c>
      <c r="E3" s="6" t="n">
        <v>58</v>
      </c>
      <c r="F3" s="6" t="n">
        <v>35</v>
      </c>
      <c r="G3" s="6" t="inlineStr">
        <is>
          <t>self_report</t>
        </is>
      </c>
      <c r="H3" s="7">
        <f>IF(A3="","",COUNTA(B3:F3)&lt;5)</f>
        <v/>
      </c>
    </row>
    <row r="4">
      <c r="A4" s="6" t="inlineStr">
        <is>
          <t>jordan.chen</t>
        </is>
      </c>
      <c r="B4" s="6" t="n">
        <v>65</v>
      </c>
      <c r="C4" s="6" t="n">
        <v>88</v>
      </c>
      <c r="D4" s="6" t="n">
        <v>52</v>
      </c>
      <c r="E4" s="6" t="n">
        <v>71</v>
      </c>
      <c r="F4" s="6" t="n">
        <v>42</v>
      </c>
      <c r="G4" s="6" t="inlineStr">
        <is>
          <t>self_report</t>
        </is>
      </c>
      <c r="H4" s="7">
        <f>IF(A4="","",COUNTA(B4:F4)&lt;5)</f>
        <v/>
      </c>
    </row>
    <row r="5">
      <c r="A5" s="6" t="inlineStr">
        <is>
          <t>sam.okafor</t>
        </is>
      </c>
      <c r="B5" s="6" t="n">
        <v>61</v>
      </c>
      <c r="C5" s="6" t="n">
        <v>74</v>
      </c>
      <c r="D5" s="6" t="n">
        <v>90</v>
      </c>
      <c r="E5" s="6" t="n">
        <v>68</v>
      </c>
      <c r="F5" s="6" t="n">
        <v>38</v>
      </c>
      <c r="G5" s="6" t="inlineStr">
        <is>
          <t>self_report</t>
        </is>
      </c>
      <c r="H5" s="7">
        <f>IF(A5="","",COUNTA(B5:F5)&lt;5)</f>
        <v/>
      </c>
    </row>
    <row r="6">
      <c r="A6" s="6" t="inlineStr">
        <is>
          <t>morgan.kim</t>
        </is>
      </c>
      <c r="B6" s="6" t="n">
        <v>79</v>
      </c>
      <c r="C6" s="6" t="n">
        <v>77</v>
      </c>
      <c r="D6" s="6" t="n">
        <v>41</v>
      </c>
      <c r="E6" s="6" t="n">
        <v>65</v>
      </c>
      <c r="F6" s="6" t="n">
        <v>55</v>
      </c>
      <c r="G6" s="6" t="inlineStr">
        <is>
          <t>self_report</t>
        </is>
      </c>
      <c r="H6" s="7">
        <f>IF(A6="","",COUNTA(B6:F6)&lt;5)</f>
        <v/>
      </c>
    </row>
    <row r="7">
      <c r="A7" s="6" t="inlineStr">
        <is>
          <t>casey.walsh</t>
        </is>
      </c>
      <c r="B7" s="6" t="n">
        <v>83</v>
      </c>
      <c r="C7" s="6" t="n">
        <v>69</v>
      </c>
      <c r="D7" s="6" t="n">
        <v>63</v>
      </c>
      <c r="E7" s="6" t="n">
        <v>76</v>
      </c>
      <c r="F7" s="6" t="n">
        <v>28</v>
      </c>
      <c r="G7" s="6" t="inlineStr">
        <is>
          <t>validated</t>
        </is>
      </c>
      <c r="H7" s="7">
        <f>IF(A7="","",COUNTA(B7:F7)&lt;5)</f>
        <v/>
      </c>
    </row>
  </sheetData>
  <conditionalFormatting sqref="B3:F7">
    <cfRule type="expression" priority="1" dxfId="0">
      <formula>OR(B3&lt;0,B3&gt;100)</formula>
    </cfRule>
  </conditionalFormatting>
  <conditionalFormatting sqref="H3:H7">
    <cfRule type="expression" priority="2" dxfId="1">
      <formula>H3=TRUE</formula>
    </cfRule>
  </conditionalFormatting>
  <dataValidations count="2">
    <dataValidation sqref="B3:F7" showDropDown="0" showInputMessage="0" showErrorMessage="1" allowBlank="1" errorTitle="Out of range" error="Enter an integer between 0 and 100." type="whole" operator="between">
      <formula1>0</formula1>
      <formula2>100</formula2>
    </dataValidation>
    <dataValidation sqref="G3:G7" showDropDown="0" showInputMessage="0" showErrorMessage="1" allowBlank="0" errorTitle="Invalid value" error="Must be one of: validated,self_report,observed,inferred,missing" type="list">
      <formula1>"validated,self_report,observed,inferred,missing"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43C0C"/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2" customWidth="1" min="8" max="8"/>
    <col width="16" customWidth="1" min="9" max="9"/>
  </cols>
  <sheetData>
    <row r="1">
      <c r="A1" s="5" t="inlineStr">
        <is>
          <t>PersonID</t>
        </is>
      </c>
      <c r="B1" s="5" t="inlineStr">
        <is>
          <t>Competing</t>
        </is>
      </c>
      <c r="C1" s="5" t="inlineStr">
        <is>
          <t>Collaborating</t>
        </is>
      </c>
      <c r="D1" s="5" t="inlineStr">
        <is>
          <t>Compromising</t>
        </is>
      </c>
      <c r="E1" s="5" t="inlineStr">
        <is>
          <t>Avoiding</t>
        </is>
      </c>
      <c r="F1" s="5" t="inlineStr">
        <is>
          <t>Accommodating</t>
        </is>
      </c>
      <c r="G1" s="5" t="inlineStr">
        <is>
          <t>Mode Sum</t>
        </is>
      </c>
      <c r="H1" s="5" t="inlineStr">
        <is>
          <t>Sum Valid
(100±1)</t>
        </is>
      </c>
      <c r="I1" s="5" t="inlineStr">
        <is>
          <t>Evidence Source</t>
        </is>
      </c>
    </row>
    <row r="2">
      <c r="A2" s="6" t="inlineStr">
        <is>
          <t>alex.rivera</t>
        </is>
      </c>
      <c r="B2" s="6" t="n">
        <v>35</v>
      </c>
      <c r="C2" s="6" t="n">
        <v>30</v>
      </c>
      <c r="D2" s="6" t="n">
        <v>20</v>
      </c>
      <c r="E2" s="6" t="n">
        <v>5</v>
      </c>
      <c r="F2" s="6" t="n">
        <v>10</v>
      </c>
      <c r="G2" s="7">
        <f>SUM(B2:F2)</f>
        <v/>
      </c>
      <c r="H2" s="7">
        <f>IF(G2=0,"",ABS(G2-100)&lt;=1)</f>
        <v/>
      </c>
      <c r="I2" s="6" t="inlineStr">
        <is>
          <t>observed</t>
        </is>
      </c>
    </row>
    <row r="3">
      <c r="A3" s="6" t="inlineStr">
        <is>
          <t>jordan.chen</t>
        </is>
      </c>
      <c r="B3" s="6" t="n">
        <v>15</v>
      </c>
      <c r="C3" s="6" t="n">
        <v>45</v>
      </c>
      <c r="D3" s="6" t="n">
        <v>25</v>
      </c>
      <c r="E3" s="6" t="n">
        <v>10</v>
      </c>
      <c r="F3" s="6" t="n">
        <v>5</v>
      </c>
      <c r="G3" s="7">
        <f>SUM(B3:F3)</f>
        <v/>
      </c>
      <c r="H3" s="7">
        <f>IF(G3=0,"",ABS(G3-100)&lt;=1)</f>
        <v/>
      </c>
      <c r="I3" s="6" t="inlineStr">
        <is>
          <t>observed</t>
        </is>
      </c>
    </row>
    <row r="4">
      <c r="A4" s="6" t="inlineStr">
        <is>
          <t>sam.okafor</t>
        </is>
      </c>
      <c r="B4" s="6" t="n">
        <v>40</v>
      </c>
      <c r="C4" s="6" t="n">
        <v>25</v>
      </c>
      <c r="D4" s="6" t="n">
        <v>20</v>
      </c>
      <c r="E4" s="6" t="n">
        <v>5</v>
      </c>
      <c r="F4" s="6" t="n">
        <v>10</v>
      </c>
      <c r="G4" s="7">
        <f>SUM(B4:F4)</f>
        <v/>
      </c>
      <c r="H4" s="7">
        <f>IF(G4=0,"",ABS(G4-100)&lt;=1)</f>
        <v/>
      </c>
      <c r="I4" s="6" t="inlineStr">
        <is>
          <t>observed</t>
        </is>
      </c>
    </row>
    <row r="5">
      <c r="A5" s="6" t="inlineStr">
        <is>
          <t>morgan.kim</t>
        </is>
      </c>
      <c r="B5" s="6" t="n">
        <v>10</v>
      </c>
      <c r="C5" s="6" t="n">
        <v>35</v>
      </c>
      <c r="D5" s="6" t="n">
        <v>25</v>
      </c>
      <c r="E5" s="6" t="n">
        <v>25</v>
      </c>
      <c r="F5" s="6" t="n">
        <v>5</v>
      </c>
      <c r="G5" s="7">
        <f>SUM(B5:F5)</f>
        <v/>
      </c>
      <c r="H5" s="7">
        <f>IF(G5=0,"",ABS(G5-100)&lt;=1)</f>
        <v/>
      </c>
      <c r="I5" s="6" t="inlineStr">
        <is>
          <t>self_report</t>
        </is>
      </c>
    </row>
    <row r="6">
      <c r="A6" s="6" t="inlineStr">
        <is>
          <t>casey.walsh</t>
        </is>
      </c>
      <c r="B6" s="6" t="n">
        <v>10</v>
      </c>
      <c r="C6" s="6" t="n">
        <v>40</v>
      </c>
      <c r="D6" s="6" t="n">
        <v>30</v>
      </c>
      <c r="E6" s="6" t="n">
        <v>5</v>
      </c>
      <c r="F6" s="6" t="n">
        <v>15</v>
      </c>
      <c r="G6" s="7">
        <f>SUM(B6:F6)</f>
        <v/>
      </c>
      <c r="H6" s="7">
        <f>IF(G6=0,"",ABS(G6-100)&lt;=1)</f>
        <v/>
      </c>
      <c r="I6" s="6" t="inlineStr">
        <is>
          <t>self_report</t>
        </is>
      </c>
    </row>
  </sheetData>
  <conditionalFormatting sqref="A2:I6">
    <cfRule type="expression" priority="1" dxfId="0">
      <formula>AND($G2&lt;&gt;"",ABS($G2-100)&gt;1)</formula>
    </cfRule>
  </conditionalFormatting>
  <dataValidations count="2">
    <dataValidation sqref="B2:F6" showDropDown="0" showInputMessage="0" showErrorMessage="1" allowBlank="1" errorTitle="Out of range" error="Enter an integer between 0 and 100." type="whole" operator="between">
      <formula1>0</formula1>
      <formula2>100</formula2>
    </dataValidation>
    <dataValidation sqref="I2:I6" showDropDown="0" showInputMessage="0" showErrorMessage="1" allowBlank="0" errorTitle="Invalid value" error="Must be one of: validated,self_report,observed,inferred,missing" type="list">
      <formula1>"validated,self_report,observed,inferred,missing"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K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  <col width="16" customWidth="1" min="11" max="11"/>
  </cols>
  <sheetData>
    <row r="1">
      <c r="A1" s="5" t="inlineStr">
        <is>
          <t>PersonID</t>
        </is>
      </c>
      <c r="B1" s="5" t="inlineStr">
        <is>
          <t>Item 1</t>
        </is>
      </c>
      <c r="C1" s="5" t="inlineStr">
        <is>
          <t>Item 2</t>
        </is>
      </c>
      <c r="D1" s="5" t="inlineStr">
        <is>
          <t>Item 3</t>
        </is>
      </c>
      <c r="E1" s="5" t="inlineStr">
        <is>
          <t>Item 4</t>
        </is>
      </c>
      <c r="F1" s="5" t="inlineStr">
        <is>
          <t>Item 5</t>
        </is>
      </c>
      <c r="G1" s="5" t="inlineStr">
        <is>
          <t>Item 6</t>
        </is>
      </c>
      <c r="H1" s="5" t="inlineStr">
        <is>
          <t>Item 7</t>
        </is>
      </c>
      <c r="I1" s="5" t="inlineStr">
        <is>
          <t>PS Score
(0–100)</t>
        </is>
      </c>
      <c r="J1" s="5" t="inlineStr">
        <is>
          <t>Missing
Flag</t>
        </is>
      </c>
      <c r="K1" s="5" t="inlineStr">
        <is>
          <t>Evidence Source</t>
        </is>
      </c>
    </row>
    <row r="2">
      <c r="A2" s="8" t="inlineStr">
        <is>
          <t>cross-ref → People!A</t>
        </is>
      </c>
      <c r="B2" s="8" t="inlineStr">
        <is>
          <t>1=low safety · 5=high safety</t>
        </is>
      </c>
      <c r="C2" s="8" t="inlineStr">
        <is>
          <t>1=low safety · 5=high safety</t>
        </is>
      </c>
      <c r="D2" s="8" t="inlineStr">
        <is>
          <t>1=low safety · 5=high safety</t>
        </is>
      </c>
      <c r="E2" s="8" t="inlineStr">
        <is>
          <t>1=low safety · 5=high safety</t>
        </is>
      </c>
      <c r="F2" s="8" t="inlineStr">
        <is>
          <t>1=low safety · 5=high safety</t>
        </is>
      </c>
      <c r="G2" s="8" t="inlineStr">
        <is>
          <t>1=low safety · 5=high safety</t>
        </is>
      </c>
      <c r="H2" s="8" t="inlineStr">
        <is>
          <t>1=low safety · 5=high safety</t>
        </is>
      </c>
      <c r="I2" s="8">
        <f>ROUND(100×(avg−1)/4,0)</f>
        <v/>
      </c>
      <c r="J2" s="8" t="inlineStr">
        <is>
          <t>computed</t>
        </is>
      </c>
      <c r="K2" s="8" t="inlineStr">
        <is>
          <t>source enum</t>
        </is>
      </c>
    </row>
    <row r="3">
      <c r="A3" s="6" t="inlineStr">
        <is>
          <t>alex.rivera</t>
        </is>
      </c>
      <c r="B3" s="6" t="n">
        <v>4</v>
      </c>
      <c r="C3" s="6" t="n">
        <v>4</v>
      </c>
      <c r="D3" s="6" t="n">
        <v>3</v>
      </c>
      <c r="E3" s="6" t="n">
        <v>4</v>
      </c>
      <c r="F3" s="6" t="n">
        <v>4</v>
      </c>
      <c r="G3" s="6" t="n">
        <v>3</v>
      </c>
      <c r="H3" s="6" t="n">
        <v>3</v>
      </c>
      <c r="I3" s="7">
        <f>IF(A3="","",ROUND(100*(AVERAGE(B3:H3)-1)/4,0))</f>
        <v/>
      </c>
      <c r="J3" s="7">
        <f>IF(A3="","",COUNTA(B3:H3)&lt;7)</f>
        <v/>
      </c>
      <c r="K3" s="6" t="inlineStr">
        <is>
          <t>self_report</t>
        </is>
      </c>
    </row>
    <row r="4">
      <c r="A4" s="6" t="inlineStr">
        <is>
          <t>jordan.chen</t>
        </is>
      </c>
      <c r="B4" s="6" t="n">
        <v>4</v>
      </c>
      <c r="C4" s="6" t="n">
        <v>4</v>
      </c>
      <c r="D4" s="6" t="n">
        <v>4</v>
      </c>
      <c r="E4" s="6" t="n">
        <v>3</v>
      </c>
      <c r="F4" s="6" t="n">
        <v>4</v>
      </c>
      <c r="G4" s="6" t="n">
        <v>4</v>
      </c>
      <c r="H4" s="6" t="n">
        <v>4</v>
      </c>
      <c r="I4" s="7">
        <f>IF(A4="","",ROUND(100*(AVERAGE(B4:H4)-1)/4,0))</f>
        <v/>
      </c>
      <c r="J4" s="7">
        <f>IF(A4="","",COUNTA(B4:H4)&lt;7)</f>
        <v/>
      </c>
      <c r="K4" s="6" t="inlineStr">
        <is>
          <t>self_report</t>
        </is>
      </c>
    </row>
    <row r="5">
      <c r="A5" s="6" t="inlineStr">
        <is>
          <t>sam.okafor</t>
        </is>
      </c>
      <c r="B5" s="6" t="n">
        <v>3</v>
      </c>
      <c r="C5" s="6" t="n">
        <v>3</v>
      </c>
      <c r="D5" s="6" t="n">
        <v>3</v>
      </c>
      <c r="E5" s="6" t="n">
        <v>3</v>
      </c>
      <c r="F5" s="6" t="n">
        <v>3</v>
      </c>
      <c r="G5" s="6" t="n">
        <v>3</v>
      </c>
      <c r="H5" s="6" t="n">
        <v>3</v>
      </c>
      <c r="I5" s="7">
        <f>IF(A5="","",ROUND(100*(AVERAGE(B5:H5)-1)/4,0))</f>
        <v/>
      </c>
      <c r="J5" s="7">
        <f>IF(A5="","",COUNTA(B5:H5)&lt;7)</f>
        <v/>
      </c>
      <c r="K5" s="6" t="inlineStr">
        <is>
          <t>self_report</t>
        </is>
      </c>
    </row>
    <row r="6">
      <c r="A6" s="6" t="inlineStr">
        <is>
          <t>morgan.kim</t>
        </is>
      </c>
      <c r="B6" s="6" t="n">
        <v>2</v>
      </c>
      <c r="C6" s="6" t="n">
        <v>3</v>
      </c>
      <c r="D6" s="6" t="n">
        <v>2</v>
      </c>
      <c r="E6" s="6" t="n">
        <v>2</v>
      </c>
      <c r="F6" s="6" t="n">
        <v>3</v>
      </c>
      <c r="G6" s="6" t="n">
        <v>2</v>
      </c>
      <c r="H6" s="6" t="n">
        <v>3</v>
      </c>
      <c r="I6" s="7">
        <f>IF(A6="","",ROUND(100*(AVERAGE(B6:H6)-1)/4,0))</f>
        <v/>
      </c>
      <c r="J6" s="7">
        <f>IF(A6="","",COUNTA(B6:H6)&lt;7)</f>
        <v/>
      </c>
      <c r="K6" s="6" t="inlineStr">
        <is>
          <t>self_report</t>
        </is>
      </c>
    </row>
    <row r="7">
      <c r="A7" s="6" t="inlineStr">
        <is>
          <t>casey.walsh</t>
        </is>
      </c>
      <c r="B7" s="6" t="n">
        <v>4</v>
      </c>
      <c r="C7" s="6" t="n">
        <v>5</v>
      </c>
      <c r="D7" s="6" t="n">
        <v>4</v>
      </c>
      <c r="E7" s="6" t="n">
        <v>5</v>
      </c>
      <c r="F7" s="6" t="n">
        <v>4</v>
      </c>
      <c r="G7" s="6" t="n">
        <v>4</v>
      </c>
      <c r="H7" s="6" t="n">
        <v>4</v>
      </c>
      <c r="I7" s="7">
        <f>IF(A7="","",ROUND(100*(AVERAGE(B7:H7)-1)/4,0))</f>
        <v/>
      </c>
      <c r="J7" s="7">
        <f>IF(A7="","",COUNTA(B7:H7)&lt;7)</f>
        <v/>
      </c>
      <c r="K7" s="6" t="inlineStr">
        <is>
          <t>self_report</t>
        </is>
      </c>
    </row>
    <row r="9">
      <c r="A9" s="3" t="inlineStr">
        <is>
          <t>GROUP AGGREGATE</t>
        </is>
      </c>
      <c r="I9" s="7">
        <f>IFERROR(ROUND(AVERAGE(I3:I7),0),"")</f>
        <v/>
      </c>
    </row>
  </sheetData>
  <conditionalFormatting sqref="B3:H7">
    <cfRule type="expression" priority="1" dxfId="0">
      <formula>OR(B3&lt;1,B3&gt;5)</formula>
    </cfRule>
  </conditionalFormatting>
  <conditionalFormatting sqref="J3:J7">
    <cfRule type="expression" priority="2" dxfId="1">
      <formula>J3=TRUE</formula>
    </cfRule>
  </conditionalFormatting>
  <dataValidations count="2">
    <dataValidation sqref="B3:H7" showDropDown="0" showInputMessage="0" showErrorMessage="1" allowBlank="1" errorTitle="Out of range" error="Enter an integer between 1 and 5." type="whole" operator="between">
      <formula1>1</formula1>
      <formula2>5</formula2>
    </dataValidation>
    <dataValidation sqref="K3:K7" showDropDown="0" showInputMessage="0" showErrorMessage="1" allowBlank="0" errorTitle="Invalid value" error="Must be one of: validated,self_report,observed,inferred,missing" type="list">
      <formula1>"validated,self_report,observed,inferred,missing"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L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3" customWidth="1" min="4" max="4"/>
    <col width="13" customWidth="1" min="5" max="5"/>
    <col width="13" customWidth="1" min="6" max="6"/>
    <col width="18" customWidth="1" min="7" max="7"/>
    <col width="12" customWidth="1" min="8" max="8"/>
    <col width="12" customWidth="1" min="9" max="9"/>
    <col width="13" customWidth="1" min="10" max="10"/>
    <col width="16" customWidth="1" min="11" max="11"/>
    <col width="10" customWidth="1" min="12" max="12"/>
  </cols>
  <sheetData>
    <row r="1">
      <c r="A1" s="5" t="inlineStr">
        <is>
          <t>PersonID</t>
        </is>
      </c>
      <c r="B1" s="5" t="inlineStr">
        <is>
          <t>Directness
(0=indirect,
100=direct)</t>
        </is>
      </c>
      <c r="C1" s="5" t="inlineStr">
        <is>
          <t>Context Orient.
(0=low-ctx,
100=high-ctx)</t>
        </is>
      </c>
      <c r="D1" s="5" t="inlineStr">
        <is>
          <t>Verbal
Dominance</t>
        </is>
      </c>
      <c r="E1" s="5" t="inlineStr">
        <is>
          <t>Listening
Quality</t>
        </is>
      </c>
      <c r="F1" s="5" t="inlineStr">
        <is>
          <t>Feedback
Tolerance</t>
        </is>
      </c>
      <c r="G1" s="5" t="inlineStr">
        <is>
          <t>Analytical vs
Intuitive
(0=intuitive,
100=analytical)</t>
        </is>
      </c>
      <c r="H1" s="5" t="inlineStr">
        <is>
          <t>Risk
Appetite</t>
        </is>
      </c>
      <c r="I1" s="5" t="inlineStr">
        <is>
          <t>Decision
Speed</t>
        </is>
      </c>
      <c r="J1" s="5" t="inlineStr">
        <is>
          <t>Ambiguity
Tolerance</t>
        </is>
      </c>
      <c r="K1" s="5" t="inlineStr">
        <is>
          <t>Evidence Source</t>
        </is>
      </c>
      <c r="L1" s="5" t="inlineStr">
        <is>
          <t>Missing
Flag</t>
        </is>
      </c>
    </row>
    <row r="2">
      <c r="A2" s="8" t="inlineStr">
        <is>
          <t>cross-ref → People!A</t>
        </is>
      </c>
      <c r="B2" s="8" t="inlineStr">
        <is>
          <t>Communication</t>
        </is>
      </c>
      <c r="C2" s="8" t="inlineStr">
        <is>
          <t>Communication</t>
        </is>
      </c>
      <c r="D2" s="8" t="inlineStr">
        <is>
          <t>Communication</t>
        </is>
      </c>
      <c r="E2" s="8" t="inlineStr">
        <is>
          <t>Communication</t>
        </is>
      </c>
      <c r="F2" s="8" t="inlineStr">
        <is>
          <t>Communication</t>
        </is>
      </c>
      <c r="G2" s="8" t="inlineStr">
        <is>
          <t>Decision</t>
        </is>
      </c>
      <c r="H2" s="8" t="inlineStr">
        <is>
          <t>Decision</t>
        </is>
      </c>
      <c r="I2" s="8" t="inlineStr">
        <is>
          <t>Decision</t>
        </is>
      </c>
      <c r="J2" s="8" t="inlineStr">
        <is>
          <t>Decision</t>
        </is>
      </c>
      <c r="K2" s="8" t="inlineStr">
        <is>
          <t>source enum</t>
        </is>
      </c>
      <c r="L2" s="8" t="inlineStr">
        <is>
          <t>computed</t>
        </is>
      </c>
    </row>
    <row r="3">
      <c r="A3" s="6" t="inlineStr">
        <is>
          <t>alex.rivera</t>
        </is>
      </c>
      <c r="B3" s="6" t="n">
        <v>85</v>
      </c>
      <c r="C3" s="6" t="n">
        <v>35</v>
      </c>
      <c r="D3" s="6" t="n">
        <v>78</v>
      </c>
      <c r="E3" s="6" t="n">
        <v>55</v>
      </c>
      <c r="F3" s="6" t="n">
        <v>62</v>
      </c>
      <c r="G3" s="6" t="n">
        <v>55</v>
      </c>
      <c r="H3" s="6" t="n">
        <v>68</v>
      </c>
      <c r="I3" s="6" t="n">
        <v>80</v>
      </c>
      <c r="J3" s="6" t="n">
        <v>60</v>
      </c>
      <c r="K3" s="6" t="inlineStr">
        <is>
          <t>observed</t>
        </is>
      </c>
      <c r="L3" s="7">
        <f>IF(A3="","",COUNTA(B3:J3)&lt;5)</f>
        <v/>
      </c>
    </row>
    <row r="4">
      <c r="A4" s="6" t="inlineStr">
        <is>
          <t>jordan.chen</t>
        </is>
      </c>
      <c r="B4" s="6" t="n">
        <v>72</v>
      </c>
      <c r="C4" s="6" t="n">
        <v>42</v>
      </c>
      <c r="D4" s="6" t="n">
        <v>45</v>
      </c>
      <c r="E4" s="6" t="n">
        <v>78</v>
      </c>
      <c r="F4" s="6" t="n">
        <v>71</v>
      </c>
      <c r="G4" s="6" t="n">
        <v>85</v>
      </c>
      <c r="H4" s="6" t="n">
        <v>42</v>
      </c>
      <c r="I4" s="6" t="n">
        <v>58</v>
      </c>
      <c r="J4" s="6" t="n">
        <v>45</v>
      </c>
      <c r="K4" s="6" t="inlineStr">
        <is>
          <t>observed</t>
        </is>
      </c>
      <c r="L4" s="7">
        <f>IF(A4="","",COUNTA(B4:J4)&lt;5)</f>
        <v/>
      </c>
    </row>
    <row r="5">
      <c r="A5" s="6" t="inlineStr">
        <is>
          <t>sam.okafor</t>
        </is>
      </c>
      <c r="B5" s="6" t="n">
        <v>90</v>
      </c>
      <c r="C5" s="6" t="n">
        <v>28</v>
      </c>
      <c r="D5" s="6" t="n">
        <v>88</v>
      </c>
      <c r="E5" s="6" t="n">
        <v>51</v>
      </c>
      <c r="F5" s="6" t="n">
        <v>58</v>
      </c>
      <c r="G5" s="6" t="n">
        <v>35</v>
      </c>
      <c r="H5" s="6" t="n">
        <v>78</v>
      </c>
      <c r="I5" s="6" t="n">
        <v>88</v>
      </c>
      <c r="J5" s="6" t="n">
        <v>72</v>
      </c>
      <c r="K5" s="6" t="inlineStr">
        <is>
          <t>observed</t>
        </is>
      </c>
      <c r="L5" s="7">
        <f>IF(A5="","",COUNTA(B5:J5)&lt;5)</f>
        <v/>
      </c>
    </row>
    <row r="6">
      <c r="A6" s="6" t="inlineStr">
        <is>
          <t>morgan.kim</t>
        </is>
      </c>
      <c r="B6" s="6" t="n">
        <v>52</v>
      </c>
      <c r="C6" s="6" t="n">
        <v>55</v>
      </c>
      <c r="D6" s="6" t="n">
        <v>30</v>
      </c>
      <c r="E6" s="6" t="n">
        <v>82</v>
      </c>
      <c r="F6" s="6" t="n">
        <v>68</v>
      </c>
      <c r="G6" s="6" t="n">
        <v>88</v>
      </c>
      <c r="H6" s="6" t="n">
        <v>38</v>
      </c>
      <c r="I6" s="6" t="n">
        <v>42</v>
      </c>
      <c r="J6" s="6" t="n">
        <v>52</v>
      </c>
      <c r="K6" s="6" t="inlineStr">
        <is>
          <t>self_report</t>
        </is>
      </c>
      <c r="L6" s="7">
        <f>IF(A6="","",COUNTA(B6:J6)&lt;5)</f>
        <v/>
      </c>
    </row>
    <row r="7">
      <c r="A7" s="6" t="inlineStr">
        <is>
          <t>casey.walsh</t>
        </is>
      </c>
      <c r="B7" s="6" t="n">
        <v>65</v>
      </c>
      <c r="C7" s="6" t="n">
        <v>68</v>
      </c>
      <c r="D7" s="6" t="n">
        <v>55</v>
      </c>
      <c r="E7" s="6" t="n">
        <v>88</v>
      </c>
      <c r="F7" s="6" t="n">
        <v>80</v>
      </c>
      <c r="G7" s="6" t="n">
        <v>62</v>
      </c>
      <c r="H7" s="6" t="n">
        <v>50</v>
      </c>
      <c r="I7" s="6" t="n">
        <v>62</v>
      </c>
      <c r="J7" s="6" t="n">
        <v>75</v>
      </c>
      <c r="K7" s="6" t="inlineStr">
        <is>
          <t>observed</t>
        </is>
      </c>
      <c r="L7" s="7">
        <f>IF(A7="","",COUNTA(B7:J7)&lt;5)</f>
        <v/>
      </c>
    </row>
  </sheetData>
  <conditionalFormatting sqref="B3:J7">
    <cfRule type="expression" priority="1" dxfId="0">
      <formula>OR(B3&lt;0,B3&gt;100)</formula>
    </cfRule>
  </conditionalFormatting>
  <conditionalFormatting sqref="L3:L7">
    <cfRule type="expression" priority="2" dxfId="1">
      <formula>L3=TRUE</formula>
    </cfRule>
  </conditionalFormatting>
  <dataValidations count="2">
    <dataValidation sqref="B3:J7" showDropDown="0" showInputMessage="0" showErrorMessage="1" allowBlank="1" errorTitle="Out of range" error="Enter an integer between 0 and 100." type="whole" operator="between">
      <formula1>0</formula1>
      <formula2>100</formula2>
    </dataValidation>
    <dataValidation sqref="K3:K7" showDropDown="0" showInputMessage="0" showErrorMessage="1" allowBlank="0" errorTitle="Invalid value" error="Must be one of: validated,self_report,observed,inferred,missing" type="list">
      <formula1>"validated,self_report,observed,inferred,missing"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BACC6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5" customWidth="1" min="5" max="5"/>
    <col width="14" customWidth="1" min="6" max="6"/>
    <col width="10" customWidth="1" min="7" max="7"/>
    <col width="16" customWidth="1" min="8" max="8"/>
  </cols>
  <sheetData>
    <row r="1">
      <c r="A1" s="5" t="inlineStr">
        <is>
          <t>PersonID</t>
        </is>
      </c>
      <c r="B1" s="5" t="inlineStr">
        <is>
          <t>Perceiving</t>
        </is>
      </c>
      <c r="C1" s="5" t="inlineStr">
        <is>
          <t>Using</t>
        </is>
      </c>
      <c r="D1" s="5" t="inlineStr">
        <is>
          <t>Understanding</t>
        </is>
      </c>
      <c r="E1" s="5" t="inlineStr">
        <is>
          <t>Managing</t>
        </is>
      </c>
      <c r="F1" s="5" t="inlineStr">
        <is>
          <t>EQ Composite
(mean)</t>
        </is>
      </c>
      <c r="G1" s="5" t="inlineStr">
        <is>
          <t>Missing
Flag</t>
        </is>
      </c>
      <c r="H1" s="5" t="inlineStr">
        <is>
          <t>Evidence Source</t>
        </is>
      </c>
    </row>
    <row r="2">
      <c r="A2" s="6" t="inlineStr">
        <is>
          <t>alex.rivera</t>
        </is>
      </c>
      <c r="B2" s="6" t="n">
        <v>68</v>
      </c>
      <c r="C2" s="6" t="n">
        <v>70</v>
      </c>
      <c r="D2" s="6" t="n">
        <v>65</v>
      </c>
      <c r="E2" s="6" t="n">
        <v>72</v>
      </c>
      <c r="F2" s="7">
        <f>IF(A2="","",IFERROR(ROUND(AVERAGE(B2:E2),0),""))</f>
        <v/>
      </c>
      <c r="G2" s="7">
        <f>IF(A2="","",COUNTA(B2:E2)&lt;4)</f>
        <v/>
      </c>
      <c r="H2" s="6" t="inlineStr">
        <is>
          <t>self_report</t>
        </is>
      </c>
    </row>
    <row r="3">
      <c r="A3" s="6" t="inlineStr">
        <is>
          <t>jordan.chen</t>
        </is>
      </c>
      <c r="B3" s="6" t="n">
        <v>75</v>
      </c>
      <c r="C3" s="6" t="n">
        <v>68</v>
      </c>
      <c r="D3" s="6" t="n">
        <v>78</v>
      </c>
      <c r="E3" s="6" t="n">
        <v>72</v>
      </c>
      <c r="F3" s="7">
        <f>IF(A3="","",IFERROR(ROUND(AVERAGE(B3:E3),0),""))</f>
        <v/>
      </c>
      <c r="G3" s="7">
        <f>IF(A3="","",COUNTA(B3:E3)&lt;4)</f>
        <v/>
      </c>
      <c r="H3" s="6" t="inlineStr">
        <is>
          <t>self_report</t>
        </is>
      </c>
    </row>
    <row r="4">
      <c r="A4" s="6" t="inlineStr">
        <is>
          <t>sam.okafor</t>
        </is>
      </c>
      <c r="B4" s="6" t="n">
        <v>62</v>
      </c>
      <c r="C4" s="6" t="n">
        <v>72</v>
      </c>
      <c r="D4" s="6" t="n">
        <v>55</v>
      </c>
      <c r="E4" s="6" t="n">
        <v>58</v>
      </c>
      <c r="F4" s="7">
        <f>IF(A4="","",IFERROR(ROUND(AVERAGE(B4:E4),0),""))</f>
        <v/>
      </c>
      <c r="G4" s="7">
        <f>IF(A4="","",COUNTA(B4:E4)&lt;4)</f>
        <v/>
      </c>
      <c r="H4" s="6" t="inlineStr">
        <is>
          <t>self_report</t>
        </is>
      </c>
    </row>
    <row r="5">
      <c r="A5" s="6" t="inlineStr">
        <is>
          <t>morgan.kim</t>
        </is>
      </c>
      <c r="B5" s="6" t="n">
        <v>78</v>
      </c>
      <c r="C5" s="6" t="n">
        <v>55</v>
      </c>
      <c r="D5" s="6" t="n">
        <v>72</v>
      </c>
      <c r="E5" s="6" t="n">
        <v>60</v>
      </c>
      <c r="F5" s="7">
        <f>IF(A5="","",IFERROR(ROUND(AVERAGE(B5:E5),0),""))</f>
        <v/>
      </c>
      <c r="G5" s="7">
        <f>IF(A5="","",COUNTA(B5:E5)&lt;4)</f>
        <v/>
      </c>
      <c r="H5" s="6" t="inlineStr">
        <is>
          <t>self_report</t>
        </is>
      </c>
    </row>
    <row r="6">
      <c r="A6" s="6" t="inlineStr">
        <is>
          <t>casey.walsh</t>
        </is>
      </c>
      <c r="B6" s="6" t="n">
        <v>82</v>
      </c>
      <c r="C6" s="6" t="n">
        <v>78</v>
      </c>
      <c r="D6" s="6" t="n">
        <v>80</v>
      </c>
      <c r="E6" s="6" t="n">
        <v>85</v>
      </c>
      <c r="F6" s="7">
        <f>IF(A6="","",IFERROR(ROUND(AVERAGE(B6:E6),0),""))</f>
        <v/>
      </c>
      <c r="G6" s="7">
        <f>IF(A6="","",COUNTA(B6:E6)&lt;4)</f>
        <v/>
      </c>
      <c r="H6" s="6" t="inlineStr">
        <is>
          <t>validated</t>
        </is>
      </c>
    </row>
  </sheetData>
  <conditionalFormatting sqref="B2:E6">
    <cfRule type="expression" priority="1" dxfId="0">
      <formula>OR(B2&lt;0,B2&gt;100)</formula>
    </cfRule>
  </conditionalFormatting>
  <conditionalFormatting sqref="G2:G6">
    <cfRule type="expression" priority="2" dxfId="1">
      <formula>G2=TRUE</formula>
    </cfRule>
  </conditionalFormatting>
  <dataValidations count="2">
    <dataValidation sqref="B2:E6" showDropDown="0" showInputMessage="0" showErrorMessage="1" allowBlank="1" errorTitle="Out of range" error="Enter an integer between 0 and 100." type="whole" operator="between">
      <formula1>0</formula1>
      <formula2>100</formula2>
    </dataValidation>
    <dataValidation sqref="H2:H6" showDropDown="0" showInputMessage="0" showErrorMessage="1" allowBlank="0" errorTitle="Invalid value" error="Must be one of: validated,self_report,observed,inferred,missing" type="list">
      <formula1>"validated,self_report,observed,inferred,missing"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C6500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</cols>
  <sheetData>
    <row r="1">
      <c r="A1" s="5" t="inlineStr">
        <is>
          <t>PersonID</t>
        </is>
      </c>
      <c r="B1" s="5" t="inlineStr">
        <is>
          <t>Secure</t>
        </is>
      </c>
      <c r="C1" s="5" t="inlineStr">
        <is>
          <t>Anxious</t>
        </is>
      </c>
      <c r="D1" s="5" t="inlineStr">
        <is>
          <t>Avoidant</t>
        </is>
      </c>
      <c r="E1" s="5" t="inlineStr">
        <is>
          <t>Fearful</t>
        </is>
      </c>
      <c r="F1" s="5" t="inlineStr">
        <is>
          <t>Attach Sum</t>
        </is>
      </c>
      <c r="G1" s="5" t="inlineStr">
        <is>
          <t>Sum Valid
(100±1)</t>
        </is>
      </c>
      <c r="H1" s="5" t="inlineStr">
        <is>
          <t>Evidence Source</t>
        </is>
      </c>
    </row>
    <row r="2">
      <c r="A2" s="9" t="inlineStr">
        <is>
          <t>Optional. Leave all four blank if not used. When all four are present they should sum to 100 ±1.</t>
        </is>
      </c>
    </row>
    <row r="3">
      <c r="A3" s="6" t="inlineStr">
        <is>
          <t>alex.rivera</t>
        </is>
      </c>
      <c r="B3" s="6" t="n">
        <v>55</v>
      </c>
      <c r="C3" s="6" t="n">
        <v>20</v>
      </c>
      <c r="D3" s="6" t="n">
        <v>15</v>
      </c>
      <c r="E3" s="6" t="n">
        <v>10</v>
      </c>
      <c r="F3" s="7">
        <f>IF(COUNTA(B3:E3)=0,"",SUM(B3:E3))</f>
        <v/>
      </c>
      <c r="G3" s="7">
        <f>IF(F3="","",IF(COUNTA(B3:E3)&lt;4,"incomplete",IF(ABS(F3-100)&lt;=1,TRUE,FALSE)))</f>
        <v/>
      </c>
      <c r="H3" s="6" t="inlineStr">
        <is>
          <t>inferred</t>
        </is>
      </c>
    </row>
    <row r="4">
      <c r="A4" s="6" t="inlineStr">
        <is>
          <t>jordan.chen</t>
        </is>
      </c>
      <c r="B4" s="6" t="n">
        <v>65</v>
      </c>
      <c r="C4" s="6" t="n">
        <v>18</v>
      </c>
      <c r="D4" s="6" t="n">
        <v>12</v>
      </c>
      <c r="E4" s="6" t="n">
        <v>5</v>
      </c>
      <c r="F4" s="7">
        <f>IF(COUNTA(B4:E4)=0,"",SUM(B4:E4))</f>
        <v/>
      </c>
      <c r="G4" s="7">
        <f>IF(F4="","",IF(COUNTA(B4:E4)&lt;4,"incomplete",IF(ABS(F4-100)&lt;=1,TRUE,FALSE)))</f>
        <v/>
      </c>
      <c r="H4" s="6" t="inlineStr">
        <is>
          <t>inferred</t>
        </is>
      </c>
    </row>
    <row r="5">
      <c r="A5" s="6" t="inlineStr">
        <is>
          <t>sam.okafor</t>
        </is>
      </c>
      <c r="B5" s="6" t="n">
        <v>45</v>
      </c>
      <c r="C5" s="6" t="n">
        <v>30</v>
      </c>
      <c r="D5" s="6" t="n">
        <v>15</v>
      </c>
      <c r="E5" s="6" t="n">
        <v>10</v>
      </c>
      <c r="F5" s="7">
        <f>IF(COUNTA(B5:E5)=0,"",SUM(B5:E5))</f>
        <v/>
      </c>
      <c r="G5" s="7">
        <f>IF(F5="","",IF(COUNTA(B5:E5)&lt;4,"incomplete",IF(ABS(F5-100)&lt;=1,TRUE,FALSE)))</f>
        <v/>
      </c>
      <c r="H5" s="6" t="inlineStr">
        <is>
          <t>inferred</t>
        </is>
      </c>
    </row>
    <row r="6">
      <c r="A6" s="6" t="inlineStr">
        <is>
          <t>morgan.kim</t>
        </is>
      </c>
      <c r="B6" s="6" t="n">
        <v>40</v>
      </c>
      <c r="C6" s="6" t="n">
        <v>35</v>
      </c>
      <c r="D6" s="6" t="n">
        <v>15</v>
      </c>
      <c r="E6" s="6" t="n">
        <v>10</v>
      </c>
      <c r="F6" s="7">
        <f>IF(COUNTA(B6:E6)=0,"",SUM(B6:E6))</f>
        <v/>
      </c>
      <c r="G6" s="7">
        <f>IF(F6="","",IF(COUNTA(B6:E6)&lt;4,"incomplete",IF(ABS(F6-100)&lt;=1,TRUE,FALSE)))</f>
        <v/>
      </c>
      <c r="H6" s="6" t="inlineStr">
        <is>
          <t>inferred</t>
        </is>
      </c>
    </row>
    <row r="7">
      <c r="A7" s="6" t="inlineStr">
        <is>
          <t>casey.walsh</t>
        </is>
      </c>
      <c r="B7" s="6" t="n">
        <v>70</v>
      </c>
      <c r="C7" s="6" t="n">
        <v>15</v>
      </c>
      <c r="D7" s="6" t="n">
        <v>10</v>
      </c>
      <c r="E7" s="6" t="n">
        <v>5</v>
      </c>
      <c r="F7" s="7">
        <f>IF(COUNTA(B7:E7)=0,"",SUM(B7:E7))</f>
        <v/>
      </c>
      <c r="G7" s="7">
        <f>IF(F7="","",IF(COUNTA(B7:E7)&lt;4,"incomplete",IF(ABS(F7-100)&lt;=1,TRUE,FALSE)))</f>
        <v/>
      </c>
      <c r="H7" s="6" t="inlineStr">
        <is>
          <t>inferred</t>
        </is>
      </c>
    </row>
  </sheetData>
  <mergeCells count="1">
    <mergeCell ref="A2:H2"/>
  </mergeCells>
  <conditionalFormatting sqref="A3:H7">
    <cfRule type="expression" priority="1" dxfId="0">
      <formula>AND(COUNTA($B3:$E3)=4,ABS($F3-100)&gt;1)</formula>
    </cfRule>
  </conditionalFormatting>
  <conditionalFormatting sqref="G3:G7">
    <cfRule type="expression" priority="2" dxfId="1">
      <formula>G3="incomplete"</formula>
    </cfRule>
  </conditionalFormatting>
  <dataValidations count="2">
    <dataValidation sqref="B3:E7" showDropDown="0" showInputMessage="0" showErrorMessage="1" allowBlank="1" errorTitle="Out of range" error="Enter an integer between 0 and 100." type="whole" operator="between">
      <formula1>0</formula1>
      <formula2>100</formula2>
    </dataValidation>
    <dataValidation sqref="H3:H7" showDropDown="0" showInputMessage="0" showErrorMessage="1" allowBlank="0" errorTitle="Invalid value" error="Must be one of: validated,self_report,observed,inferred,missing" type="list">
      <formula1>"validated,self_report,observed,inferred,missing"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04040"/>
    <outlinePr summaryBelow="1" summaryRight="1"/>
    <pageSetUpPr/>
  </sheetPr>
  <dimension ref="A1:I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50" customWidth="1" min="3" max="3"/>
    <col width="28" customWidth="1" min="4" max="4"/>
    <col width="18" customWidth="1" min="5" max="5"/>
    <col width="12" customWidth="1" min="6" max="6"/>
    <col width="30" customWidth="1" min="7" max="7"/>
    <col width="12" customWidth="1" min="8" max="8"/>
    <col width="16" customWidth="1" min="9" max="9"/>
  </cols>
  <sheetData>
    <row r="1" ht="28" customHeight="1">
      <c r="A1" s="5" t="inlineStr">
        <is>
          <t>Check ID</t>
        </is>
      </c>
      <c r="B1" s="5" t="inlineStr">
        <is>
          <t>Tab</t>
        </is>
      </c>
      <c r="C1" s="5" t="inlineStr">
        <is>
          <t>Check Description</t>
        </is>
      </c>
      <c r="D1" s="5" t="inlineStr">
        <is>
          <t>Expected</t>
        </is>
      </c>
      <c r="E1" s="5" t="inlineStr">
        <is>
          <t>Actual</t>
        </is>
      </c>
      <c r="F1" s="5" t="inlineStr">
        <is>
          <t>Pass / Fail</t>
        </is>
      </c>
      <c r="G1" s="5" t="inlineStr">
        <is>
          <t>Notes</t>
        </is>
      </c>
      <c r="H1" s="5" t="inlineStr">
        <is>
          <t>Date</t>
        </is>
      </c>
      <c r="I1" s="5" t="inlineStr">
        <is>
          <t>Reviewer</t>
        </is>
      </c>
    </row>
    <row r="2">
      <c r="A2" s="6" t="inlineStr">
        <is>
          <t>GA-01</t>
        </is>
      </c>
      <c r="B2" s="6" t="inlineStr">
        <is>
          <t>People</t>
        </is>
      </c>
      <c r="C2" s="6" t="inlineStr">
        <is>
          <t>All 5 PersonIDs match slug pattern (lowercase, no spaces, 3–64 chars)</t>
        </is>
      </c>
      <c r="D2" s="6" t="inlineStr">
        <is>
          <t>ID_Valid=TRUE all rows</t>
        </is>
      </c>
      <c r="E2" s="6" t="inlineStr"/>
      <c r="F2" s="6" t="inlineStr"/>
      <c r="G2" s="6" t="inlineStr"/>
      <c r="H2" s="6" t="inlineStr"/>
      <c r="I2" s="6" t="inlineStr"/>
    </row>
    <row r="3">
      <c r="A3" s="6" t="inlineStr">
        <is>
          <t>GA-02</t>
        </is>
      </c>
      <c r="B3" s="6" t="inlineStr">
        <is>
          <t>People</t>
        </is>
      </c>
      <c r="C3" s="6" t="inlineStr">
        <is>
          <t>No duplicate PersonIDs</t>
        </is>
      </c>
      <c r="D3" s="6" t="inlineStr">
        <is>
          <t>0 duplicates</t>
        </is>
      </c>
      <c r="E3" s="6" t="inlineStr"/>
      <c r="F3" s="6" t="inlineStr"/>
      <c r="G3" s="6" t="inlineStr"/>
      <c r="H3" s="6" t="inlineStr"/>
      <c r="I3" s="6" t="inlineStr"/>
    </row>
    <row r="4">
      <c r="A4" s="6" t="inlineStr">
        <is>
          <t>GA-03</t>
        </is>
      </c>
      <c r="B4" s="6" t="inlineStr">
        <is>
          <t>People</t>
        </is>
      </c>
      <c r="C4" s="6" t="inlineStr">
        <is>
          <t>Role values all in allowed enum</t>
        </is>
      </c>
      <c r="D4" s="6" t="inlineStr">
        <is>
          <t>All valid</t>
        </is>
      </c>
      <c r="E4" s="6" t="inlineStr"/>
      <c r="F4" s="6" t="inlineStr"/>
      <c r="G4" s="6" t="inlineStr"/>
      <c r="H4" s="6" t="inlineStr"/>
      <c r="I4" s="6" t="inlineStr"/>
    </row>
    <row r="5">
      <c r="A5" s="6" t="inlineStr">
        <is>
          <t>GA-04</t>
        </is>
      </c>
      <c r="B5" s="6" t="inlineStr">
        <is>
          <t>People</t>
        </is>
      </c>
      <c r="C5" s="6" t="inlineStr">
        <is>
          <t>AuthorityLevel all in 1..5</t>
        </is>
      </c>
      <c r="D5" s="6" t="inlineStr">
        <is>
          <t>All valid</t>
        </is>
      </c>
      <c r="E5" s="6" t="inlineStr"/>
      <c r="F5" s="6" t="inlineStr"/>
      <c r="G5" s="6" t="inlineStr"/>
      <c r="H5" s="6" t="inlineStr"/>
      <c r="I5" s="6" t="inlineStr"/>
    </row>
    <row r="6">
      <c r="A6" s="6" t="inlineStr">
        <is>
          <t>GA-05</t>
        </is>
      </c>
      <c r="B6" s="6" t="inlineStr">
        <is>
          <t>Big Five</t>
        </is>
      </c>
      <c r="C6" s="6" t="inlineStr">
        <is>
          <t>All OCEAN values in 0..100</t>
        </is>
      </c>
      <c r="D6" s="6" t="inlineStr">
        <is>
          <t>No red cells</t>
        </is>
      </c>
      <c r="E6" s="6" t="inlineStr"/>
      <c r="F6" s="6" t="inlineStr"/>
      <c r="G6" s="6" t="inlineStr"/>
      <c r="H6" s="6" t="inlineStr"/>
      <c r="I6" s="6" t="inlineStr"/>
    </row>
    <row r="7">
      <c r="A7" s="6" t="inlineStr">
        <is>
          <t>GA-06</t>
        </is>
      </c>
      <c r="B7" s="6" t="inlineStr">
        <is>
          <t>Big Five</t>
        </is>
      </c>
      <c r="C7" s="6" t="inlineStr">
        <is>
          <t>No missing-data flags (all 5 fields present per person)</t>
        </is>
      </c>
      <c r="D7" s="6" t="inlineStr">
        <is>
          <t>Missing_Flag=FALSE</t>
        </is>
      </c>
      <c r="E7" s="6" t="inlineStr"/>
      <c r="F7" s="6" t="inlineStr"/>
      <c r="G7" s="6" t="inlineStr"/>
      <c r="H7" s="6" t="inlineStr"/>
      <c r="I7" s="6" t="inlineStr"/>
    </row>
    <row r="8">
      <c r="A8" s="6" t="inlineStr">
        <is>
          <t>GA-07</t>
        </is>
      </c>
      <c r="B8" s="6" t="inlineStr">
        <is>
          <t>Conflict Style</t>
        </is>
      </c>
      <c r="C8" s="6" t="inlineStr">
        <is>
          <t>Mode sums all within 99–101</t>
        </is>
      </c>
      <c r="D8" s="6" t="inlineStr">
        <is>
          <t>Mode_Sum in [99,101]</t>
        </is>
      </c>
      <c r="E8" s="6" t="inlineStr"/>
      <c r="F8" s="6" t="inlineStr"/>
      <c r="G8" s="6" t="inlineStr"/>
      <c r="H8" s="6" t="inlineStr"/>
      <c r="I8" s="6" t="inlineStr"/>
    </row>
    <row r="9">
      <c r="A9" s="6" t="inlineStr">
        <is>
          <t>GA-08</t>
        </is>
      </c>
      <c r="B9" s="6" t="inlineStr">
        <is>
          <t>Conflict Style</t>
        </is>
      </c>
      <c r="C9" s="6" t="inlineStr">
        <is>
          <t>Sum_Valid = TRUE for all 5 rows</t>
        </is>
      </c>
      <c r="D9" s="6" t="inlineStr">
        <is>
          <t>Sum_Valid=TRUE</t>
        </is>
      </c>
      <c r="E9" s="6" t="inlineStr"/>
      <c r="F9" s="6" t="inlineStr"/>
      <c r="G9" s="6" t="inlineStr"/>
      <c r="H9" s="6" t="inlineStr"/>
      <c r="I9" s="6" t="inlineStr"/>
    </row>
    <row r="10">
      <c r="A10" s="6" t="inlineStr">
        <is>
          <t>GA-09</t>
        </is>
      </c>
      <c r="B10" s="6" t="inlineStr">
        <is>
          <t>Psych Safety</t>
        </is>
      </c>
      <c r="C10" s="6" t="inlineStr">
        <is>
          <t>All item values in 1..5</t>
        </is>
      </c>
      <c r="D10" s="6" t="inlineStr">
        <is>
          <t>No red cells</t>
        </is>
      </c>
      <c r="E10" s="6" t="inlineStr"/>
      <c r="F10" s="6" t="inlineStr"/>
      <c r="G10" s="6" t="inlineStr"/>
      <c r="H10" s="6" t="inlineStr"/>
      <c r="I10" s="6" t="inlineStr"/>
    </row>
    <row r="11">
      <c r="A11" s="6" t="inlineStr">
        <is>
          <t>GA-10</t>
        </is>
      </c>
      <c r="B11" s="6" t="inlineStr">
        <is>
          <t>Psych Safety</t>
        </is>
      </c>
      <c r="C11" s="6" t="inlineStr">
        <is>
          <t>Per-person scores match spec ±1: 64, 71, 50, 36, 82</t>
        </is>
      </c>
      <c r="D11" s="6" t="inlineStr">
        <is>
          <t>Within ±1 of spec</t>
        </is>
      </c>
      <c r="E11" s="6" t="inlineStr"/>
      <c r="F11" s="6" t="inlineStr"/>
      <c r="G11" s="6" t="inlineStr"/>
      <c r="H11" s="6" t="inlineStr"/>
      <c r="I11" s="6" t="inlineStr"/>
    </row>
    <row r="12">
      <c r="A12" s="6" t="inlineStr">
        <is>
          <t>GA-11</t>
        </is>
      </c>
      <c r="B12" s="6" t="inlineStr">
        <is>
          <t>Psych Safety</t>
        </is>
      </c>
      <c r="C12" s="6" t="inlineStr">
        <is>
          <t>Group aggregate = 61 ±1</t>
        </is>
      </c>
      <c r="D12" s="6" t="inlineStr">
        <is>
          <t>60–62</t>
        </is>
      </c>
      <c r="E12" s="6" t="inlineStr"/>
      <c r="F12" s="6" t="inlineStr"/>
      <c r="G12" s="6" t="inlineStr"/>
      <c r="H12" s="6" t="inlineStr"/>
      <c r="I12" s="6" t="inlineStr"/>
    </row>
    <row r="13">
      <c r="A13" s="6" t="inlineStr">
        <is>
          <t>GA-12</t>
        </is>
      </c>
      <c r="B13" s="6" t="inlineStr">
        <is>
          <t>Comm/Decision</t>
        </is>
      </c>
      <c r="C13" s="6" t="inlineStr">
        <is>
          <t>All values in 0..100</t>
        </is>
      </c>
      <c r="D13" s="6" t="inlineStr">
        <is>
          <t>No red cells</t>
        </is>
      </c>
      <c r="E13" s="6" t="inlineStr"/>
      <c r="F13" s="6" t="inlineStr"/>
      <c r="G13" s="6" t="inlineStr"/>
      <c r="H13" s="6" t="inlineStr"/>
      <c r="I13" s="6" t="inlineStr"/>
    </row>
    <row r="14">
      <c r="A14" s="6" t="inlineStr">
        <is>
          <t>GA-13</t>
        </is>
      </c>
      <c r="B14" s="6" t="inlineStr">
        <is>
          <t>Comm/Decision</t>
        </is>
      </c>
      <c r="C14" s="6" t="inlineStr">
        <is>
          <t>Polarity labels present in header row 2</t>
        </is>
      </c>
      <c r="D14" s="6" t="inlineStr">
        <is>
          <t>Labels visible</t>
        </is>
      </c>
      <c r="E14" s="6" t="inlineStr"/>
      <c r="F14" s="6" t="inlineStr"/>
      <c r="G14" s="6" t="inlineStr"/>
      <c r="H14" s="6" t="inlineStr"/>
      <c r="I14" s="6" t="inlineStr"/>
    </row>
    <row r="15">
      <c r="A15" s="6" t="inlineStr">
        <is>
          <t>GA-14</t>
        </is>
      </c>
      <c r="B15" s="6" t="inlineStr">
        <is>
          <t>EQ</t>
        </is>
      </c>
      <c r="C15" s="6" t="inlineStr">
        <is>
          <t>All values in 0..100; EQ_Composite computed for all rows</t>
        </is>
      </c>
      <c r="D15" s="6" t="inlineStr">
        <is>
          <t>Composite filled, no red</t>
        </is>
      </c>
      <c r="E15" s="6" t="inlineStr"/>
      <c r="F15" s="6" t="inlineStr"/>
      <c r="G15" s="6" t="inlineStr"/>
      <c r="H15" s="6" t="inlineStr"/>
      <c r="I15" s="6" t="inlineStr"/>
    </row>
    <row r="16">
      <c r="A16" s="6" t="inlineStr">
        <is>
          <t>GA-15</t>
        </is>
      </c>
      <c r="B16" s="6" t="inlineStr">
        <is>
          <t>Attachment</t>
        </is>
      </c>
      <c r="C16" s="6" t="inlineStr">
        <is>
          <t>Attach_Sum = 100 and Sum_Valid = TRUE for all 5 rows</t>
        </is>
      </c>
      <c r="D16" s="6" t="inlineStr">
        <is>
          <t>Sum_Valid=TRUE</t>
        </is>
      </c>
      <c r="E16" s="6" t="inlineStr"/>
      <c r="F16" s="6" t="inlineStr"/>
      <c r="G16" s="6" t="inlineStr"/>
      <c r="H16" s="6" t="inlineStr"/>
      <c r="I16" s="6" t="inlineStr"/>
    </row>
    <row r="17">
      <c r="A17" s="6" t="inlineStr">
        <is>
          <t>GA-16</t>
        </is>
      </c>
      <c r="B17" s="6" t="inlineStr">
        <is>
          <t>Cross-tab</t>
        </is>
      </c>
      <c r="C17" s="6" t="inlineStr">
        <is>
          <t>PersonID in each assessment tab resolves to valid People!PersonID</t>
        </is>
      </c>
      <c r="D17" s="6" t="inlineStr">
        <is>
          <t>No NOT FOUND</t>
        </is>
      </c>
      <c r="E17" s="6" t="inlineStr"/>
      <c r="F17" s="6" t="inlineStr"/>
      <c r="G17" s="6" t="inlineStr"/>
      <c r="H17" s="6" t="inlineStr"/>
      <c r="I17" s="6" t="inlineStr"/>
    </row>
    <row r="18">
      <c r="A18" s="6" t="inlineStr">
        <is>
          <t>GA-17</t>
        </is>
      </c>
      <c r="B18" s="6" t="inlineStr">
        <is>
          <t>Workbook</t>
        </is>
      </c>
      <c r="C18" s="6" t="inlineStr">
        <is>
          <t>Sheet version tag "phase1_gateA_v1" present in README-Consent A1</t>
        </is>
      </c>
      <c r="D18" s="6" t="inlineStr">
        <is>
          <t>Tag present</t>
        </is>
      </c>
      <c r="E18" s="6" t="inlineStr"/>
      <c r="F18" s="6" t="inlineStr"/>
      <c r="G18" s="6" t="inlineStr"/>
      <c r="H18" s="6" t="inlineStr"/>
      <c r="I18" s="6" t="inlineStr"/>
    </row>
  </sheetData>
  <conditionalFormatting sqref="F2:F18">
    <cfRule type="expression" priority="1" dxfId="2">
      <formula>F2="Pass"</formula>
    </cfRule>
    <cfRule type="expression" priority="2" dxfId="0">
      <formula>F2="Fail"</formula>
    </cfRule>
  </conditionalFormatting>
  <dataValidations count="1">
    <dataValidation sqref="F2:F18" showDropDown="0" showInputMessage="0" showErrorMessage="1" allowBlank="0" errorTitle="Invalid value" error="Must be one of: Pass,Fail,N/A" type="list">
      <formula1>"Pass,Fail,N/A"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2026-04-24T20:05:23Z</dcterms:created>
  <dcterms:modified xsi:type="dcterms:W3CDTF">2026-04-24T20:05:23Z</dcterms:modified>
</cp:coreProperties>
</file>